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ta AI assignments\"/>
    </mc:Choice>
  </mc:AlternateContent>
  <xr:revisionPtr revIDLastSave="0" documentId="13_ncr:1_{8ACF5B30-E00B-4B95-8752-18F2D7C5CD37}" xr6:coauthVersionLast="47" xr6:coauthVersionMax="47" xr10:uidLastSave="{00000000-0000-0000-0000-000000000000}"/>
  <bookViews>
    <workbookView xWindow="-120" yWindow="-120" windowWidth="20730" windowHeight="11040" activeTab="1" xr2:uid="{615EFC34-DFAF-4DF8-8AD5-A241D7012C39}"/>
  </bookViews>
  <sheets>
    <sheet name="Question" sheetId="1" r:id="rId1"/>
    <sheet name="Answ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</calcChain>
</file>

<file path=xl/sharedStrings.xml><?xml version="1.0" encoding="utf-8"?>
<sst xmlns="http://schemas.openxmlformats.org/spreadsheetml/2006/main" count="154" uniqueCount="123">
  <si>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</si>
  <si>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</si>
  <si>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</si>
  <si>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</si>
  <si>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</si>
  <si>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</si>
  <si>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</si>
  <si>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</si>
  <si>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</si>
  <si>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</si>
  <si>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</si>
  <si>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</si>
  <si>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</si>
  <si>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</si>
  <si>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>• Format the data type of the "Price" column to currency format.</t>
  </si>
  <si>
    <t>• Format the "Manufacturing Date" column to display dates in the "DD-MM-YYYY " format.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</si>
  <si>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</si>
  <si>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</si>
  <si>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</si>
  <si>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</si>
  <si>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</si>
  <si>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</si>
  <si>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</si>
  <si>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</si>
  <si>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</si>
  <si>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</si>
  <si>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</si>
  <si>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</si>
  <si>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</si>
  <si>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</si>
  <si>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</si>
  <si>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</si>
  <si>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</si>
  <si>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</si>
  <si>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</si>
  <si>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</si>
  <si>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</si>
  <si>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</si>
  <si>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</si>
  <si>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</si>
  <si>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</si>
  <si>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</si>
  <si>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</si>
  <si>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</si>
  <si>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</si>
  <si>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</si>
  <si>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</si>
  <si>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</si>
  <si>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</si>
  <si>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</si>
  <si>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</si>
  <si>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</si>
  <si>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</si>
  <si>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</si>
  <si>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</si>
  <si>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</si>
  <si>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</si>
  <si>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</si>
  <si>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</si>
  <si>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</si>
  <si>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</si>
  <si>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</si>
  <si>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</si>
  <si>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</si>
  <si>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</si>
  <si>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</si>
  <si>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</si>
  <si>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</si>
  <si>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</si>
  <si>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</si>
  <si>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</si>
  <si>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</si>
  <si>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</si>
  <si>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</si>
  <si>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</si>
  <si>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</si>
  <si>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</si>
  <si>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</si>
  <si>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</si>
  <si>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</si>
  <si>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</si>
  <si>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</si>
  <si>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</si>
  <si>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</si>
  <si>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</si>
  <si>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</si>
  <si>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</si>
  <si>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</si>
  <si>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</si>
  <si>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</si>
  <si>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</si>
  <si>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</si>
  <si>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</si>
  <si>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</si>
  <si>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</si>
  <si>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</si>
  <si>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</si>
  <si>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</si>
  <si>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</si>
  <si>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</si>
  <si>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</si>
  <si>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</si>
  <si>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</si>
  <si>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</si>
  <si>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</si>
  <si>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</si>
  <si>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</si>
  <si>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</si>
  <si>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</si>
  <si>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</si>
  <si>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</si>
  <si>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</si>
  <si>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</si>
  <si>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</si>
  <si>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</si>
  <si>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Missing Value</t>
  </si>
  <si>
    <t>Missing Category</t>
  </si>
  <si>
    <t>Inconsistent Text</t>
  </si>
  <si>
    <t>Mfg;Date</t>
  </si>
  <si>
    <t>Country Code</t>
  </si>
  <si>
    <t>Product Brand</t>
  </si>
  <si>
    <t>Currency Format</t>
  </si>
  <si>
    <t>Date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</si>
</sst>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F800]dddd\,\ 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wrapText="1"/>
    </xf>
    <xf numFmtId="44" fontId="0" fillId="0" borderId="0" xfId="1" applyFont="1"/>
    <xf numFmtId="164" fontId="0" fillId="0" borderId="0" xfId="0" applyNumberFormat="1"/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4" borderId="2" xfId="0" applyFont="1" applyFill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6" fillId="4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44" fontId="3" fillId="0" borderId="5" xfId="1" applyFont="1" applyBorder="1" applyAlignment="1">
      <alignment wrapText="1"/>
    </xf>
    <xf numFmtId="44" fontId="6" fillId="4" borderId="2" xfId="1" applyFont="1" applyFill="1" applyBorder="1" applyAlignment="1">
      <alignment horizontal="center" vertical="center" wrapText="1"/>
    </xf>
    <xf numFmtId="164" fontId="6" fillId="4" borderId="2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wrapText="1"/>
    </xf>
    <xf numFmtId="164" fontId="3" fillId="0" borderId="5" xfId="0" applyNumberFormat="1" applyFont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3" borderId="6" xfId="0" applyFont="1" applyFill="1" applyBorder="1" applyAlignment="1">
      <alignment horizontal="right" wrapText="1"/>
    </xf>
    <xf numFmtId="1" fontId="3" fillId="0" borderId="6" xfId="0" applyNumberFormat="1" applyFont="1" applyBorder="1" applyAlignment="1">
      <alignment horizontal="right" wrapText="1"/>
    </xf>
    <xf numFmtId="44" fontId="3" fillId="0" borderId="6" xfId="1" applyFont="1" applyBorder="1" applyAlignment="1">
      <alignment wrapText="1"/>
    </xf>
    <xf numFmtId="0" fontId="3" fillId="0" borderId="6" xfId="0" applyFont="1" applyBorder="1" applyAlignment="1">
      <alignment horizontal="right" wrapText="1"/>
    </xf>
    <xf numFmtId="1" fontId="7" fillId="0" borderId="6" xfId="0" applyNumberFormat="1" applyFont="1" applyBorder="1" applyAlignment="1">
      <alignment horizontal="right" wrapText="1"/>
    </xf>
    <xf numFmtId="0" fontId="3" fillId="3" borderId="8" xfId="0" applyFont="1" applyFill="1" applyBorder="1" applyAlignment="1">
      <alignment wrapText="1"/>
    </xf>
    <xf numFmtId="14" fontId="3" fillId="0" borderId="9" xfId="0" applyNumberFormat="1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3" borderId="10" xfId="0" applyFont="1" applyFill="1" applyBorder="1" applyAlignment="1">
      <alignment wrapText="1"/>
    </xf>
    <xf numFmtId="0" fontId="3" fillId="3" borderId="11" xfId="0" applyFont="1" applyFill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11" xfId="0" applyFont="1" applyFill="1" applyBorder="1" applyAlignment="1">
      <alignment horizontal="right" wrapText="1"/>
    </xf>
    <xf numFmtId="1" fontId="3" fillId="0" borderId="11" xfId="0" applyNumberFormat="1" applyFont="1" applyBorder="1" applyAlignment="1">
      <alignment horizontal="right" wrapText="1"/>
    </xf>
    <xf numFmtId="44" fontId="3" fillId="0" borderId="11" xfId="1" applyFont="1" applyBorder="1" applyAlignment="1">
      <alignment wrapText="1"/>
    </xf>
    <xf numFmtId="14" fontId="3" fillId="0" borderId="12" xfId="0" applyNumberFormat="1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13" xfId="0" applyFont="1" applyBorder="1" applyAlignment="1">
      <alignment horizontal="right" wrapText="1"/>
    </xf>
    <xf numFmtId="1" fontId="3" fillId="0" borderId="13" xfId="0" applyNumberFormat="1" applyFont="1" applyBorder="1" applyAlignment="1">
      <alignment horizontal="right" wrapText="1"/>
    </xf>
    <xf numFmtId="44" fontId="3" fillId="0" borderId="13" xfId="1" applyFont="1" applyBorder="1" applyAlignment="1">
      <alignment wrapText="1"/>
    </xf>
    <xf numFmtId="14" fontId="3" fillId="0" borderId="13" xfId="0" applyNumberFormat="1" applyFont="1" applyBorder="1" applyAlignment="1">
      <alignment wrapText="1"/>
    </xf>
  </cellXfs>
  <cellStyles count="2">
    <cellStyle name="Currency" xfId="1" builtinId="4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F82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5933-E941-4C91-84F8-396E38691B67}">
  <dimension ref="A1:Z1000"/>
  <sheetViews>
    <sheetView workbookViewId="0">
      <selection sqref="A1:Z1000"/>
    </sheetView>
  </sheetViews>
  <sheetFormatPr defaultRowHeight="15" x14ac:dyDescent="0.25"/>
  <sheetData>
    <row r="1" spans="1:2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x14ac:dyDescent="0.25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5">
      <c r="A4" s="2"/>
      <c r="B4" s="2"/>
      <c r="C4" s="4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x14ac:dyDescent="0.25">
      <c r="A5" s="2"/>
      <c r="B5" s="2"/>
      <c r="C5" s="4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x14ac:dyDescent="0.25">
      <c r="A7" s="2"/>
      <c r="B7" s="3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x14ac:dyDescent="0.25">
      <c r="A8" s="2"/>
      <c r="B8" s="2"/>
      <c r="C8" s="4" t="s">
        <v>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x14ac:dyDescent="0.25">
      <c r="A9" s="2"/>
      <c r="B9" s="2"/>
      <c r="C9" s="4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x14ac:dyDescent="0.25">
      <c r="A10" s="2"/>
      <c r="B10" s="2"/>
      <c r="C10" s="4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x14ac:dyDescent="0.25">
      <c r="A12" s="2"/>
      <c r="B12" s="3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x14ac:dyDescent="0.25">
      <c r="A13" s="2"/>
      <c r="B13" s="2"/>
      <c r="C13" s="4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x14ac:dyDescent="0.25">
      <c r="A15" s="2"/>
      <c r="B15" s="3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x14ac:dyDescent="0.25">
      <c r="A16" s="2"/>
      <c r="B16" s="2"/>
      <c r="C16" s="4" t="s">
        <v>11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x14ac:dyDescent="0.25">
      <c r="A17" s="2"/>
      <c r="B17" s="2"/>
      <c r="C17" s="4" t="s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x14ac:dyDescent="0.25">
      <c r="A19" s="2"/>
      <c r="B19" s="3" t="s">
        <v>13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x14ac:dyDescent="0.25">
      <c r="A20" s="2"/>
      <c r="B20" s="2"/>
      <c r="C20" s="4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x14ac:dyDescent="0.25">
      <c r="A21" s="2"/>
      <c r="B21" s="2"/>
      <c r="C21" s="4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x14ac:dyDescent="0.25">
      <c r="A23" s="2"/>
      <c r="B23" s="3" t="s">
        <v>16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x14ac:dyDescent="0.25">
      <c r="A24" s="2"/>
      <c r="B24" s="2"/>
      <c r="C24" s="4" t="s">
        <v>17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x14ac:dyDescent="0.25">
      <c r="A25" s="2"/>
      <c r="B25" s="2"/>
      <c r="C25" s="4" t="s">
        <v>18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8CF7-3AD8-40B9-940E-FB013A15CF08}">
  <dimension ref="A1:AB33"/>
  <sheetViews>
    <sheetView tabSelected="1" workbookViewId="0">
      <selection activeCell="C5" sqref="C5"/>
    </sheetView>
  </sheetViews>
  <sheetFormatPr defaultRowHeight="15" x14ac:dyDescent="0.25"/>
  <cols>
    <col min="1" max="1" width="11.42578125" customWidth="1"/>
    <col min="2" max="3" width="12.5703125" customWidth="1"/>
    <col min="4" max="4" width="10.28515625" customWidth="1"/>
    <col min="6" max="6" width="11.5703125" bestFit="1" customWidth="1"/>
    <col min="8" max="9" width="11.42578125" customWidth="1"/>
    <col min="12" max="12" width="16.42578125" customWidth="1"/>
    <col min="13" max="13" width="10.28515625" style="6" bestFit="1" customWidth="1"/>
    <col min="14" max="14" width="9.140625" style="7" customWidth="1"/>
    <col min="16" max="16" width="18.28515625" customWidth="1"/>
    <col min="18" max="18" width="7.140625" customWidth="1"/>
    <col min="19" max="20" width="9.140625" hidden="1" customWidth="1"/>
  </cols>
  <sheetData>
    <row r="1" spans="1:28" ht="26.25" thickBot="1" x14ac:dyDescent="0.3">
      <c r="A1" s="13" t="s">
        <v>19</v>
      </c>
      <c r="B1" s="13" t="s">
        <v>20</v>
      </c>
      <c r="C1" s="12" t="s">
        <v>117</v>
      </c>
      <c r="D1" s="13" t="s">
        <v>21</v>
      </c>
      <c r="E1" s="13" t="s">
        <v>22</v>
      </c>
      <c r="F1" s="12" t="s">
        <v>115</v>
      </c>
      <c r="G1" s="13" t="s">
        <v>23</v>
      </c>
      <c r="H1" s="13" t="s">
        <v>24</v>
      </c>
      <c r="I1" s="12" t="s">
        <v>116</v>
      </c>
      <c r="J1" s="12" t="s">
        <v>118</v>
      </c>
      <c r="K1" s="12" t="s">
        <v>119</v>
      </c>
      <c r="L1" s="12" t="s">
        <v>120</v>
      </c>
      <c r="M1" s="15" t="s">
        <v>121</v>
      </c>
      <c r="N1" s="16" t="s">
        <v>122</v>
      </c>
      <c r="O1" s="8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5.75" thickBot="1" x14ac:dyDescent="0.3">
      <c r="A2" s="36" t="s">
        <v>25</v>
      </c>
      <c r="B2" s="36" t="s">
        <v>26</v>
      </c>
      <c r="C2" s="36" t="str">
        <f t="shared" ref="C2:C32" si="0">PROPER(B2)</f>
        <v>Laptop</v>
      </c>
      <c r="D2" s="36" t="s">
        <v>27</v>
      </c>
      <c r="E2" s="37">
        <v>1000</v>
      </c>
      <c r="F2" s="38">
        <f t="shared" ref="F2:F32" si="1">IF(ISBLANK(E2),AVERAGE(E$2:E$35),E2)</f>
        <v>1000</v>
      </c>
      <c r="G2" s="37">
        <v>30</v>
      </c>
      <c r="H2" s="36" t="s">
        <v>28</v>
      </c>
      <c r="I2" s="36" t="str">
        <f t="shared" ref="I2:I32" si="2">IF(ISBLANK(H2),"Unknown",H2)</f>
        <v>Electronics</v>
      </c>
      <c r="J2" s="36" t="str">
        <f>LEFT(A2,2)</f>
        <v>28</v>
      </c>
      <c r="K2" s="36" t="str">
        <f>RIGHT(A2,2)</f>
        <v>US</v>
      </c>
      <c r="L2" s="36" t="str">
        <f>B2&amp;" "&amp;D2</f>
        <v>laptop Dell</v>
      </c>
      <c r="M2" s="39">
        <v>1000</v>
      </c>
      <c r="N2" s="40">
        <f>DATE(2026,1,J2)</f>
        <v>46050</v>
      </c>
      <c r="O2" s="8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.75" thickBot="1" x14ac:dyDescent="0.3">
      <c r="A3" s="26" t="s">
        <v>29</v>
      </c>
      <c r="B3" s="19" t="s">
        <v>30</v>
      </c>
      <c r="C3" s="20" t="str">
        <f t="shared" si="0"/>
        <v>Sneakers</v>
      </c>
      <c r="D3" s="19" t="s">
        <v>31</v>
      </c>
      <c r="E3" s="21">
        <v>80</v>
      </c>
      <c r="F3" s="22">
        <f t="shared" si="1"/>
        <v>80</v>
      </c>
      <c r="G3" s="21">
        <v>15</v>
      </c>
      <c r="H3" s="19" t="s">
        <v>32</v>
      </c>
      <c r="I3" s="20" t="str">
        <f t="shared" si="2"/>
        <v>Fashion</v>
      </c>
      <c r="J3" s="20" t="str">
        <f t="shared" ref="J3:J32" si="3">LEFT(A3,2)</f>
        <v>15</v>
      </c>
      <c r="K3" s="20" t="str">
        <f t="shared" ref="K3:K32" si="4">RIGHT(A3,2)</f>
        <v>US</v>
      </c>
      <c r="L3" s="20" t="str">
        <f t="shared" ref="L3:L32" si="5">B3&amp;" "&amp;D3</f>
        <v>Sneakers Nike</v>
      </c>
      <c r="M3" s="23">
        <v>80</v>
      </c>
      <c r="N3" s="27">
        <f t="shared" ref="N3:N32" si="6">DATE(2026,1,J3)</f>
        <v>46037</v>
      </c>
      <c r="O3" s="8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27" thickBot="1" x14ac:dyDescent="0.3">
      <c r="A4" s="28" t="s">
        <v>33</v>
      </c>
      <c r="B4" s="20" t="s">
        <v>34</v>
      </c>
      <c r="C4" s="20" t="str">
        <f t="shared" si="0"/>
        <v>Coffee Maker</v>
      </c>
      <c r="D4" s="20" t="s">
        <v>35</v>
      </c>
      <c r="E4" s="24">
        <v>130</v>
      </c>
      <c r="F4" s="22">
        <f t="shared" si="1"/>
        <v>130</v>
      </c>
      <c r="G4" s="24">
        <v>40</v>
      </c>
      <c r="H4" s="20" t="s">
        <v>36</v>
      </c>
      <c r="I4" s="20" t="str">
        <f t="shared" si="2"/>
        <v>Kitchen</v>
      </c>
      <c r="J4" s="20" t="str">
        <f t="shared" si="3"/>
        <v>03</v>
      </c>
      <c r="K4" s="20" t="str">
        <f t="shared" si="4"/>
        <v>US</v>
      </c>
      <c r="L4" s="20" t="str">
        <f t="shared" si="5"/>
        <v>Coffee Maker Keurig</v>
      </c>
      <c r="M4" s="23">
        <v>130</v>
      </c>
      <c r="N4" s="27">
        <f t="shared" si="6"/>
        <v>46025</v>
      </c>
      <c r="O4" s="8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27" thickBot="1" x14ac:dyDescent="0.3">
      <c r="A5" s="26" t="s">
        <v>37</v>
      </c>
      <c r="B5" s="19" t="s">
        <v>38</v>
      </c>
      <c r="C5" s="20" t="str">
        <f t="shared" si="0"/>
        <v>Smartphone</v>
      </c>
      <c r="D5" s="19" t="s">
        <v>39</v>
      </c>
      <c r="E5" s="21">
        <v>900</v>
      </c>
      <c r="F5" s="22">
        <f t="shared" si="1"/>
        <v>900</v>
      </c>
      <c r="G5" s="21">
        <v>25</v>
      </c>
      <c r="H5" s="19" t="s">
        <v>28</v>
      </c>
      <c r="I5" s="20" t="str">
        <f t="shared" si="2"/>
        <v>Electronics</v>
      </c>
      <c r="J5" s="20" t="str">
        <f t="shared" si="3"/>
        <v>11</v>
      </c>
      <c r="K5" s="20" t="str">
        <f t="shared" si="4"/>
        <v>US</v>
      </c>
      <c r="L5" s="20" t="str">
        <f t="shared" si="5"/>
        <v>smartphone Samsung</v>
      </c>
      <c r="M5" s="23">
        <v>900</v>
      </c>
      <c r="N5" s="27">
        <f t="shared" si="6"/>
        <v>46033</v>
      </c>
      <c r="O5" s="8"/>
      <c r="P5" s="9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27" thickBot="1" x14ac:dyDescent="0.3">
      <c r="A6" s="28" t="s">
        <v>40</v>
      </c>
      <c r="B6" s="20" t="s">
        <v>41</v>
      </c>
      <c r="C6" s="20" t="str">
        <f t="shared" si="0"/>
        <v>Backpack</v>
      </c>
      <c r="D6" s="20" t="s">
        <v>42</v>
      </c>
      <c r="E6" s="24">
        <v>70</v>
      </c>
      <c r="F6" s="22">
        <f t="shared" si="1"/>
        <v>70</v>
      </c>
      <c r="G6" s="24">
        <v>20</v>
      </c>
      <c r="H6" s="20"/>
      <c r="I6" s="20" t="str">
        <f t="shared" si="2"/>
        <v>Unknown</v>
      </c>
      <c r="J6" s="20" t="str">
        <f t="shared" si="3"/>
        <v>22</v>
      </c>
      <c r="K6" s="20" t="str">
        <f t="shared" si="4"/>
        <v>US</v>
      </c>
      <c r="L6" s="20" t="str">
        <f t="shared" si="5"/>
        <v>Backpack North Face</v>
      </c>
      <c r="M6" s="23">
        <v>70</v>
      </c>
      <c r="N6" s="27">
        <f t="shared" si="6"/>
        <v>46044</v>
      </c>
      <c r="O6" s="17"/>
      <c r="P6" s="12" t="s">
        <v>115</v>
      </c>
      <c r="Q6" s="8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.75" thickBot="1" x14ac:dyDescent="0.3">
      <c r="A7" s="26" t="s">
        <v>43</v>
      </c>
      <c r="B7" s="19" t="s">
        <v>44</v>
      </c>
      <c r="C7" s="20" t="str">
        <f t="shared" si="0"/>
        <v>Headphones</v>
      </c>
      <c r="D7" s="19" t="s">
        <v>45</v>
      </c>
      <c r="E7" s="19"/>
      <c r="F7" s="25">
        <f t="shared" si="1"/>
        <v>297.85714285714283</v>
      </c>
      <c r="G7" s="21">
        <v>45</v>
      </c>
      <c r="H7" s="19" t="s">
        <v>28</v>
      </c>
      <c r="I7" s="20" t="str">
        <f t="shared" si="2"/>
        <v>Electronics</v>
      </c>
      <c r="J7" s="20" t="str">
        <f t="shared" si="3"/>
        <v>07</v>
      </c>
      <c r="K7" s="20" t="str">
        <f t="shared" si="4"/>
        <v>UK</v>
      </c>
      <c r="L7" s="20" t="str">
        <f t="shared" si="5"/>
        <v>Headphones Sony</v>
      </c>
      <c r="M7" s="23">
        <v>297.85714285714283</v>
      </c>
      <c r="N7" s="27">
        <f t="shared" si="6"/>
        <v>46029</v>
      </c>
      <c r="O7" s="17"/>
      <c r="P7" s="10">
        <f>COUNTBLANK(E2:E32)</f>
        <v>3</v>
      </c>
      <c r="Q7" s="8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75" thickBot="1" x14ac:dyDescent="0.3">
      <c r="A8" s="28" t="s">
        <v>46</v>
      </c>
      <c r="B8" s="20" t="s">
        <v>47</v>
      </c>
      <c r="C8" s="20" t="str">
        <f t="shared" si="0"/>
        <v>T-Shirt</v>
      </c>
      <c r="D8" s="20" t="s">
        <v>48</v>
      </c>
      <c r="E8" s="24">
        <v>30</v>
      </c>
      <c r="F8" s="22">
        <f t="shared" si="1"/>
        <v>30</v>
      </c>
      <c r="G8" s="24">
        <v>5</v>
      </c>
      <c r="H8" s="20" t="s">
        <v>32</v>
      </c>
      <c r="I8" s="20" t="str">
        <f t="shared" si="2"/>
        <v>Fashion</v>
      </c>
      <c r="J8" s="20" t="str">
        <f t="shared" si="3"/>
        <v>19</v>
      </c>
      <c r="K8" s="20" t="str">
        <f t="shared" si="4"/>
        <v>UK</v>
      </c>
      <c r="L8" s="20" t="str">
        <f t="shared" si="5"/>
        <v>T-shirt Adidas</v>
      </c>
      <c r="M8" s="23">
        <v>30</v>
      </c>
      <c r="N8" s="27">
        <f t="shared" si="6"/>
        <v>46041</v>
      </c>
      <c r="O8" s="8"/>
      <c r="P8" s="11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.75" thickBot="1" x14ac:dyDescent="0.3">
      <c r="A9" s="26" t="s">
        <v>49</v>
      </c>
      <c r="B9" s="19" t="s">
        <v>50</v>
      </c>
      <c r="C9" s="20" t="str">
        <f t="shared" si="0"/>
        <v>Blender</v>
      </c>
      <c r="D9" s="19" t="s">
        <v>51</v>
      </c>
      <c r="E9" s="21">
        <v>90</v>
      </c>
      <c r="F9" s="22">
        <f t="shared" si="1"/>
        <v>90</v>
      </c>
      <c r="G9" s="21">
        <v>35</v>
      </c>
      <c r="H9" s="19" t="s">
        <v>36</v>
      </c>
      <c r="I9" s="20" t="str">
        <f t="shared" si="2"/>
        <v>Kitchen</v>
      </c>
      <c r="J9" s="20" t="str">
        <f t="shared" si="3"/>
        <v>23</v>
      </c>
      <c r="K9" s="20" t="str">
        <f t="shared" si="4"/>
        <v>UK</v>
      </c>
      <c r="L9" s="20" t="str">
        <f t="shared" si="5"/>
        <v>Blender Ninja</v>
      </c>
      <c r="M9" s="23">
        <v>90</v>
      </c>
      <c r="N9" s="27">
        <f t="shared" si="6"/>
        <v>46045</v>
      </c>
      <c r="O9" s="8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.75" thickBot="1" x14ac:dyDescent="0.3">
      <c r="A10" s="28" t="s">
        <v>52</v>
      </c>
      <c r="B10" s="20" t="s">
        <v>53</v>
      </c>
      <c r="C10" s="20" t="str">
        <f t="shared" si="0"/>
        <v>Tablet</v>
      </c>
      <c r="D10" s="20" t="s">
        <v>54</v>
      </c>
      <c r="E10" s="24">
        <v>500</v>
      </c>
      <c r="F10" s="22">
        <f t="shared" si="1"/>
        <v>500</v>
      </c>
      <c r="G10" s="24">
        <v>50</v>
      </c>
      <c r="H10" s="20" t="s">
        <v>28</v>
      </c>
      <c r="I10" s="20" t="str">
        <f t="shared" si="2"/>
        <v>Electronics</v>
      </c>
      <c r="J10" s="20" t="str">
        <f t="shared" si="3"/>
        <v>05</v>
      </c>
      <c r="K10" s="20" t="str">
        <f t="shared" si="4"/>
        <v>UK</v>
      </c>
      <c r="L10" s="20" t="str">
        <f t="shared" si="5"/>
        <v>Tablet Apple</v>
      </c>
      <c r="M10" s="23">
        <v>500</v>
      </c>
      <c r="N10" s="27">
        <f t="shared" si="6"/>
        <v>46027</v>
      </c>
      <c r="O10" s="8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27" thickBot="1" x14ac:dyDescent="0.3">
      <c r="A11" s="26" t="s">
        <v>55</v>
      </c>
      <c r="B11" s="19" t="s">
        <v>56</v>
      </c>
      <c r="C11" s="20" t="str">
        <f t="shared" si="0"/>
        <v>Hiking Boots</v>
      </c>
      <c r="D11" s="19" t="s">
        <v>57</v>
      </c>
      <c r="E11" s="21">
        <v>130</v>
      </c>
      <c r="F11" s="22">
        <f t="shared" si="1"/>
        <v>130</v>
      </c>
      <c r="G11" s="21">
        <v>10</v>
      </c>
      <c r="H11" s="19" t="s">
        <v>58</v>
      </c>
      <c r="I11" s="20" t="str">
        <f t="shared" si="2"/>
        <v>Outdoor</v>
      </c>
      <c r="J11" s="20" t="str">
        <f t="shared" si="3"/>
        <v>14</v>
      </c>
      <c r="K11" s="20" t="str">
        <f t="shared" si="4"/>
        <v>UK</v>
      </c>
      <c r="L11" s="20" t="str">
        <f t="shared" si="5"/>
        <v>Hiking Boots Timberland</v>
      </c>
      <c r="M11" s="23">
        <v>130</v>
      </c>
      <c r="N11" s="27">
        <f t="shared" si="6"/>
        <v>46036</v>
      </c>
      <c r="O11" s="8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.75" thickBot="1" x14ac:dyDescent="0.3">
      <c r="A12" s="28" t="s">
        <v>59</v>
      </c>
      <c r="B12" s="20" t="s">
        <v>60</v>
      </c>
      <c r="C12" s="20" t="str">
        <f t="shared" si="0"/>
        <v>Laptop</v>
      </c>
      <c r="D12" s="20" t="s">
        <v>61</v>
      </c>
      <c r="E12" s="24">
        <v>950</v>
      </c>
      <c r="F12" s="22">
        <f t="shared" si="1"/>
        <v>950</v>
      </c>
      <c r="G12" s="24">
        <v>25</v>
      </c>
      <c r="H12" s="20" t="s">
        <v>28</v>
      </c>
      <c r="I12" s="20" t="str">
        <f t="shared" si="2"/>
        <v>Electronics</v>
      </c>
      <c r="J12" s="20" t="str">
        <f t="shared" si="3"/>
        <v>17</v>
      </c>
      <c r="K12" s="20" t="str">
        <f t="shared" si="4"/>
        <v>IN</v>
      </c>
      <c r="L12" s="20" t="str">
        <f t="shared" si="5"/>
        <v>Laptop HP</v>
      </c>
      <c r="M12" s="23">
        <v>950</v>
      </c>
      <c r="N12" s="27">
        <f t="shared" si="6"/>
        <v>46039</v>
      </c>
      <c r="O12" s="8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75" thickBot="1" x14ac:dyDescent="0.3">
      <c r="A13" s="26" t="s">
        <v>62</v>
      </c>
      <c r="B13" s="19" t="s">
        <v>30</v>
      </c>
      <c r="C13" s="20" t="str">
        <f t="shared" si="0"/>
        <v>Sneakers</v>
      </c>
      <c r="D13" s="19" t="s">
        <v>48</v>
      </c>
      <c r="E13" s="21">
        <v>90</v>
      </c>
      <c r="F13" s="22">
        <f t="shared" si="1"/>
        <v>90</v>
      </c>
      <c r="G13" s="21">
        <v>40</v>
      </c>
      <c r="H13" s="19"/>
      <c r="I13" s="20" t="str">
        <f t="shared" si="2"/>
        <v>Unknown</v>
      </c>
      <c r="J13" s="20" t="str">
        <f t="shared" si="3"/>
        <v>25</v>
      </c>
      <c r="K13" s="20" t="str">
        <f t="shared" si="4"/>
        <v>AU</v>
      </c>
      <c r="L13" s="20" t="str">
        <f t="shared" si="5"/>
        <v>Sneakers Adidas</v>
      </c>
      <c r="M13" s="23">
        <v>90</v>
      </c>
      <c r="N13" s="27">
        <f t="shared" si="6"/>
        <v>46047</v>
      </c>
      <c r="O13" s="8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27" thickBot="1" x14ac:dyDescent="0.3">
      <c r="A14" s="28" t="s">
        <v>63</v>
      </c>
      <c r="B14" s="20" t="s">
        <v>34</v>
      </c>
      <c r="C14" s="20" t="str">
        <f t="shared" si="0"/>
        <v>Coffee Maker</v>
      </c>
      <c r="D14" s="20" t="s">
        <v>64</v>
      </c>
      <c r="E14" s="24">
        <v>120</v>
      </c>
      <c r="F14" s="22">
        <f t="shared" si="1"/>
        <v>120</v>
      </c>
      <c r="G14" s="24">
        <v>35</v>
      </c>
      <c r="H14" s="20"/>
      <c r="I14" s="20" t="str">
        <f t="shared" si="2"/>
        <v>Unknown</v>
      </c>
      <c r="J14" s="20" t="str">
        <f t="shared" si="3"/>
        <v>08</v>
      </c>
      <c r="K14" s="20" t="str">
        <f t="shared" si="4"/>
        <v>DE</v>
      </c>
      <c r="L14" s="20" t="str">
        <f t="shared" si="5"/>
        <v>Coffee Maker Nespresso</v>
      </c>
      <c r="M14" s="23">
        <v>120</v>
      </c>
      <c r="N14" s="27">
        <f t="shared" si="6"/>
        <v>46030</v>
      </c>
      <c r="O14" s="8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.75" thickBot="1" x14ac:dyDescent="0.3">
      <c r="A15" s="26" t="s">
        <v>65</v>
      </c>
      <c r="B15" s="19" t="s">
        <v>66</v>
      </c>
      <c r="C15" s="20" t="str">
        <f t="shared" si="0"/>
        <v>Smartwatch</v>
      </c>
      <c r="D15" s="19" t="s">
        <v>67</v>
      </c>
      <c r="E15" s="21">
        <v>150</v>
      </c>
      <c r="F15" s="22">
        <f t="shared" si="1"/>
        <v>150</v>
      </c>
      <c r="G15" s="21">
        <v>15</v>
      </c>
      <c r="H15" s="19" t="s">
        <v>28</v>
      </c>
      <c r="I15" s="20" t="str">
        <f t="shared" si="2"/>
        <v>Electronics</v>
      </c>
      <c r="J15" s="20" t="str">
        <f t="shared" si="3"/>
        <v>18</v>
      </c>
      <c r="K15" s="20" t="str">
        <f t="shared" si="4"/>
        <v>CA</v>
      </c>
      <c r="L15" s="20" t="str">
        <f t="shared" si="5"/>
        <v>Smartwatch Fitbit</v>
      </c>
      <c r="M15" s="23">
        <v>150</v>
      </c>
      <c r="N15" s="27">
        <f t="shared" si="6"/>
        <v>46040</v>
      </c>
      <c r="O15" s="8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.75" thickBot="1" x14ac:dyDescent="0.3">
      <c r="A16" s="28" t="s">
        <v>68</v>
      </c>
      <c r="B16" s="20" t="s">
        <v>69</v>
      </c>
      <c r="C16" s="20" t="str">
        <f t="shared" si="0"/>
        <v>Headphones</v>
      </c>
      <c r="D16" s="20" t="s">
        <v>70</v>
      </c>
      <c r="E16" s="24">
        <v>250</v>
      </c>
      <c r="F16" s="22">
        <f t="shared" si="1"/>
        <v>250</v>
      </c>
      <c r="G16" s="24">
        <v>20</v>
      </c>
      <c r="H16" s="20" t="s">
        <v>28</v>
      </c>
      <c r="I16" s="20" t="str">
        <f t="shared" si="2"/>
        <v>Electronics</v>
      </c>
      <c r="J16" s="20" t="str">
        <f t="shared" si="3"/>
        <v>16</v>
      </c>
      <c r="K16" s="20" t="str">
        <f t="shared" si="4"/>
        <v>ES</v>
      </c>
      <c r="L16" s="20" t="str">
        <f t="shared" si="5"/>
        <v>headphones Bose</v>
      </c>
      <c r="M16" s="23">
        <v>250</v>
      </c>
      <c r="N16" s="27">
        <f t="shared" si="6"/>
        <v>46038</v>
      </c>
      <c r="O16" s="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27" thickBot="1" x14ac:dyDescent="0.3">
      <c r="A17" s="26" t="s">
        <v>71</v>
      </c>
      <c r="B17" s="19" t="s">
        <v>72</v>
      </c>
      <c r="C17" s="20" t="str">
        <f t="shared" si="0"/>
        <v>Laptop Bag</v>
      </c>
      <c r="D17" s="19" t="s">
        <v>73</v>
      </c>
      <c r="E17" s="21">
        <v>50</v>
      </c>
      <c r="F17" s="22">
        <f t="shared" si="1"/>
        <v>50</v>
      </c>
      <c r="G17" s="21">
        <v>35</v>
      </c>
      <c r="H17" s="19" t="s">
        <v>74</v>
      </c>
      <c r="I17" s="20" t="str">
        <f t="shared" si="2"/>
        <v>Accessories</v>
      </c>
      <c r="J17" s="20" t="str">
        <f t="shared" si="3"/>
        <v>21</v>
      </c>
      <c r="K17" s="20" t="str">
        <f t="shared" si="4"/>
        <v>CA</v>
      </c>
      <c r="L17" s="20" t="str">
        <f t="shared" si="5"/>
        <v>Laptop Bag Samsonite</v>
      </c>
      <c r="M17" s="23">
        <v>50</v>
      </c>
      <c r="N17" s="27">
        <f t="shared" si="6"/>
        <v>46043</v>
      </c>
      <c r="O17" s="8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27" thickBot="1" x14ac:dyDescent="0.3">
      <c r="A18" s="28" t="s">
        <v>75</v>
      </c>
      <c r="B18" s="20" t="s">
        <v>66</v>
      </c>
      <c r="C18" s="20" t="str">
        <f t="shared" si="0"/>
        <v>Smartwatch</v>
      </c>
      <c r="D18" s="20" t="s">
        <v>76</v>
      </c>
      <c r="E18" s="24">
        <v>160</v>
      </c>
      <c r="F18" s="22">
        <f t="shared" si="1"/>
        <v>160</v>
      </c>
      <c r="G18" s="24">
        <v>15</v>
      </c>
      <c r="H18" s="20" t="s">
        <v>28</v>
      </c>
      <c r="I18" s="20" t="str">
        <f t="shared" si="2"/>
        <v>Electronics</v>
      </c>
      <c r="J18" s="20" t="str">
        <f t="shared" si="3"/>
        <v>20</v>
      </c>
      <c r="K18" s="20" t="str">
        <f t="shared" si="4"/>
        <v>CN</v>
      </c>
      <c r="L18" s="20" t="str">
        <f t="shared" si="5"/>
        <v>Smartwatch Huawei</v>
      </c>
      <c r="M18" s="23">
        <v>160</v>
      </c>
      <c r="N18" s="27">
        <f t="shared" si="6"/>
        <v>46042</v>
      </c>
      <c r="O18" s="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5.75" thickBot="1" x14ac:dyDescent="0.3">
      <c r="A19" s="26" t="s">
        <v>77</v>
      </c>
      <c r="B19" s="19" t="s">
        <v>26</v>
      </c>
      <c r="C19" s="20" t="str">
        <f t="shared" si="0"/>
        <v>Laptop</v>
      </c>
      <c r="D19" s="19" t="s">
        <v>78</v>
      </c>
      <c r="E19" s="21">
        <v>980</v>
      </c>
      <c r="F19" s="22">
        <f t="shared" si="1"/>
        <v>980</v>
      </c>
      <c r="G19" s="21">
        <v>10</v>
      </c>
      <c r="H19" s="19" t="s">
        <v>28</v>
      </c>
      <c r="I19" s="20" t="str">
        <f t="shared" si="2"/>
        <v>Electronics</v>
      </c>
      <c r="J19" s="20" t="str">
        <f t="shared" si="3"/>
        <v>27</v>
      </c>
      <c r="K19" s="20" t="str">
        <f t="shared" si="4"/>
        <v>IT</v>
      </c>
      <c r="L19" s="20" t="str">
        <f t="shared" si="5"/>
        <v>laptop Asus</v>
      </c>
      <c r="M19" s="23">
        <v>980</v>
      </c>
      <c r="N19" s="27">
        <f t="shared" si="6"/>
        <v>46049</v>
      </c>
      <c r="O19" s="8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27" thickBot="1" x14ac:dyDescent="0.3">
      <c r="A20" s="28" t="s">
        <v>79</v>
      </c>
      <c r="B20" s="20" t="s">
        <v>80</v>
      </c>
      <c r="C20" s="20" t="str">
        <f t="shared" si="0"/>
        <v>Sunglasses</v>
      </c>
      <c r="D20" s="20" t="s">
        <v>81</v>
      </c>
      <c r="E20" s="24">
        <v>150</v>
      </c>
      <c r="F20" s="22">
        <f t="shared" si="1"/>
        <v>150</v>
      </c>
      <c r="G20" s="24">
        <v>15</v>
      </c>
      <c r="H20" s="20" t="s">
        <v>32</v>
      </c>
      <c r="I20" s="20" t="str">
        <f t="shared" si="2"/>
        <v>Fashion</v>
      </c>
      <c r="J20" s="20" t="str">
        <f t="shared" si="3"/>
        <v>01</v>
      </c>
      <c r="K20" s="20" t="str">
        <f t="shared" si="4"/>
        <v>UK</v>
      </c>
      <c r="L20" s="20" t="str">
        <f t="shared" si="5"/>
        <v>Sunglasses Oakley</v>
      </c>
      <c r="M20" s="23">
        <v>150</v>
      </c>
      <c r="N20" s="27">
        <f t="shared" si="6"/>
        <v>46023</v>
      </c>
      <c r="O20" s="8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27" thickBot="1" x14ac:dyDescent="0.3">
      <c r="A21" s="26" t="s">
        <v>82</v>
      </c>
      <c r="B21" s="19" t="s">
        <v>83</v>
      </c>
      <c r="C21" s="20" t="str">
        <f t="shared" si="0"/>
        <v>Camping Tent</v>
      </c>
      <c r="D21" s="19" t="s">
        <v>84</v>
      </c>
      <c r="E21" s="19"/>
      <c r="F21" s="25">
        <f t="shared" si="1"/>
        <v>297.85714285714283</v>
      </c>
      <c r="G21" s="21">
        <v>10</v>
      </c>
      <c r="H21" s="19" t="s">
        <v>58</v>
      </c>
      <c r="I21" s="20" t="str">
        <f t="shared" si="2"/>
        <v>Outdoor</v>
      </c>
      <c r="J21" s="20" t="str">
        <f t="shared" si="3"/>
        <v>14</v>
      </c>
      <c r="K21" s="20" t="str">
        <f t="shared" si="4"/>
        <v>US</v>
      </c>
      <c r="L21" s="20" t="str">
        <f t="shared" si="5"/>
        <v>Camping Tent Coleman</v>
      </c>
      <c r="M21" s="23">
        <v>297.85714285714283</v>
      </c>
      <c r="N21" s="27">
        <f t="shared" si="6"/>
        <v>46036</v>
      </c>
      <c r="O21" s="8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.75" thickBot="1" x14ac:dyDescent="0.3">
      <c r="A22" s="28" t="s">
        <v>85</v>
      </c>
      <c r="B22" s="20" t="s">
        <v>86</v>
      </c>
      <c r="C22" s="20" t="str">
        <f t="shared" si="0"/>
        <v>Camera</v>
      </c>
      <c r="D22" s="20" t="s">
        <v>87</v>
      </c>
      <c r="E22" s="24">
        <v>700</v>
      </c>
      <c r="F22" s="22">
        <f t="shared" si="1"/>
        <v>700</v>
      </c>
      <c r="G22" s="24">
        <v>50</v>
      </c>
      <c r="H22" s="20" t="s">
        <v>28</v>
      </c>
      <c r="I22" s="20" t="str">
        <f t="shared" si="2"/>
        <v>Electronics</v>
      </c>
      <c r="J22" s="20" t="str">
        <f t="shared" si="3"/>
        <v>14</v>
      </c>
      <c r="K22" s="20" t="str">
        <f t="shared" si="4"/>
        <v>RU</v>
      </c>
      <c r="L22" s="20" t="str">
        <f t="shared" si="5"/>
        <v>Camera Nikon</v>
      </c>
      <c r="M22" s="23">
        <v>700</v>
      </c>
      <c r="N22" s="27">
        <f t="shared" si="6"/>
        <v>46036</v>
      </c>
      <c r="O22" s="8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27" thickBot="1" x14ac:dyDescent="0.3">
      <c r="A23" s="26" t="s">
        <v>88</v>
      </c>
      <c r="B23" s="19" t="s">
        <v>89</v>
      </c>
      <c r="C23" s="20" t="str">
        <f t="shared" si="0"/>
        <v>Microwave</v>
      </c>
      <c r="D23" s="19" t="s">
        <v>90</v>
      </c>
      <c r="E23" s="21">
        <v>80</v>
      </c>
      <c r="F23" s="22">
        <f t="shared" si="1"/>
        <v>80</v>
      </c>
      <c r="G23" s="21">
        <v>20</v>
      </c>
      <c r="H23" s="19" t="s">
        <v>36</v>
      </c>
      <c r="I23" s="20" t="str">
        <f t="shared" si="2"/>
        <v>Kitchen</v>
      </c>
      <c r="J23" s="20" t="str">
        <f t="shared" si="3"/>
        <v>09</v>
      </c>
      <c r="K23" s="20" t="str">
        <f t="shared" si="4"/>
        <v>CA</v>
      </c>
      <c r="L23" s="20" t="str">
        <f t="shared" si="5"/>
        <v>Microwave Panasonic</v>
      </c>
      <c r="M23" s="23">
        <v>80</v>
      </c>
      <c r="N23" s="27">
        <f t="shared" si="6"/>
        <v>46031</v>
      </c>
      <c r="O23" s="8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27" thickBot="1" x14ac:dyDescent="0.3">
      <c r="A24" s="28" t="s">
        <v>91</v>
      </c>
      <c r="B24" s="20" t="s">
        <v>92</v>
      </c>
      <c r="C24" s="20" t="str">
        <f t="shared" si="0"/>
        <v>Fitness Tracker</v>
      </c>
      <c r="D24" s="20" t="s">
        <v>93</v>
      </c>
      <c r="E24" s="24">
        <v>150</v>
      </c>
      <c r="F24" s="22">
        <f t="shared" si="1"/>
        <v>150</v>
      </c>
      <c r="G24" s="24">
        <v>30</v>
      </c>
      <c r="H24" s="20"/>
      <c r="I24" s="20" t="str">
        <f t="shared" si="2"/>
        <v>Unknown</v>
      </c>
      <c r="J24" s="20" t="str">
        <f t="shared" si="3"/>
        <v>19</v>
      </c>
      <c r="K24" s="20" t="str">
        <f t="shared" si="4"/>
        <v>BR</v>
      </c>
      <c r="L24" s="20" t="str">
        <f t="shared" si="5"/>
        <v>Fitness Tracker Xiaomi</v>
      </c>
      <c r="M24" s="23">
        <v>150</v>
      </c>
      <c r="N24" s="27">
        <f t="shared" si="6"/>
        <v>46041</v>
      </c>
      <c r="O24" s="8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27" thickBot="1" x14ac:dyDescent="0.3">
      <c r="A25" s="28" t="s">
        <v>94</v>
      </c>
      <c r="B25" s="20" t="s">
        <v>95</v>
      </c>
      <c r="C25" s="20" t="str">
        <f t="shared" si="0"/>
        <v>Smartphone</v>
      </c>
      <c r="D25" s="20" t="s">
        <v>96</v>
      </c>
      <c r="E25" s="24">
        <v>800</v>
      </c>
      <c r="F25" s="22">
        <f t="shared" si="1"/>
        <v>800</v>
      </c>
      <c r="G25" s="24">
        <v>45</v>
      </c>
      <c r="H25" s="20" t="s">
        <v>28</v>
      </c>
      <c r="I25" s="20" t="str">
        <f t="shared" si="2"/>
        <v>Electronics</v>
      </c>
      <c r="J25" s="20" t="str">
        <f t="shared" si="3"/>
        <v>29</v>
      </c>
      <c r="K25" s="20" t="str">
        <f t="shared" si="4"/>
        <v>CA</v>
      </c>
      <c r="L25" s="20" t="str">
        <f t="shared" si="5"/>
        <v>Smartphone Google</v>
      </c>
      <c r="M25" s="23">
        <v>800</v>
      </c>
      <c r="N25" s="27">
        <f t="shared" si="6"/>
        <v>46051</v>
      </c>
      <c r="O25" s="8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27" thickBot="1" x14ac:dyDescent="0.3">
      <c r="A26" s="26" t="s">
        <v>97</v>
      </c>
      <c r="B26" s="19" t="s">
        <v>80</v>
      </c>
      <c r="C26" s="20" t="str">
        <f t="shared" si="0"/>
        <v>Sunglasses</v>
      </c>
      <c r="D26" s="19" t="s">
        <v>98</v>
      </c>
      <c r="E26" s="19"/>
      <c r="F26" s="25">
        <f t="shared" si="1"/>
        <v>297.85714285714283</v>
      </c>
      <c r="G26" s="21">
        <v>25</v>
      </c>
      <c r="H26" s="19" t="s">
        <v>32</v>
      </c>
      <c r="I26" s="20" t="str">
        <f t="shared" si="2"/>
        <v>Fashion</v>
      </c>
      <c r="J26" s="20" t="str">
        <f t="shared" si="3"/>
        <v>03</v>
      </c>
      <c r="K26" s="20" t="str">
        <f t="shared" si="4"/>
        <v>CA</v>
      </c>
      <c r="L26" s="20" t="str">
        <f t="shared" si="5"/>
        <v>Sunglasses Ray-Ban</v>
      </c>
      <c r="M26" s="23">
        <v>297.85714285714283</v>
      </c>
      <c r="N26" s="27">
        <f t="shared" si="6"/>
        <v>46025</v>
      </c>
      <c r="O26" s="8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thickBot="1" x14ac:dyDescent="0.3">
      <c r="A27" s="28" t="s">
        <v>99</v>
      </c>
      <c r="B27" s="20" t="s">
        <v>50</v>
      </c>
      <c r="C27" s="20" t="str">
        <f t="shared" si="0"/>
        <v>Blender</v>
      </c>
      <c r="D27" s="20" t="s">
        <v>100</v>
      </c>
      <c r="E27" s="24">
        <v>400</v>
      </c>
      <c r="F27" s="22">
        <f t="shared" si="1"/>
        <v>400</v>
      </c>
      <c r="G27" s="24">
        <v>40</v>
      </c>
      <c r="H27" s="20" t="s">
        <v>36</v>
      </c>
      <c r="I27" s="20" t="str">
        <f t="shared" si="2"/>
        <v>Kitchen</v>
      </c>
      <c r="J27" s="20" t="str">
        <f t="shared" si="3"/>
        <v>11</v>
      </c>
      <c r="K27" s="20" t="str">
        <f t="shared" si="4"/>
        <v>CA</v>
      </c>
      <c r="L27" s="20" t="str">
        <f t="shared" si="5"/>
        <v>Blender Vitamix</v>
      </c>
      <c r="M27" s="23">
        <v>400</v>
      </c>
      <c r="N27" s="27">
        <f t="shared" si="6"/>
        <v>46033</v>
      </c>
      <c r="O27" s="8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75" thickBot="1" x14ac:dyDescent="0.3">
      <c r="A28" s="28" t="s">
        <v>101</v>
      </c>
      <c r="B28" s="20" t="s">
        <v>102</v>
      </c>
      <c r="C28" s="20" t="str">
        <f t="shared" si="0"/>
        <v>Dress</v>
      </c>
      <c r="D28" s="20" t="s">
        <v>103</v>
      </c>
      <c r="E28" s="24">
        <v>60</v>
      </c>
      <c r="F28" s="22">
        <f t="shared" si="1"/>
        <v>60</v>
      </c>
      <c r="G28" s="24">
        <v>30</v>
      </c>
      <c r="H28" s="20" t="s">
        <v>32</v>
      </c>
      <c r="I28" s="20" t="str">
        <f t="shared" si="2"/>
        <v>Fashion</v>
      </c>
      <c r="J28" s="20" t="str">
        <f t="shared" si="3"/>
        <v>07</v>
      </c>
      <c r="K28" s="20" t="str">
        <f t="shared" si="4"/>
        <v>CA</v>
      </c>
      <c r="L28" s="20" t="str">
        <f t="shared" si="5"/>
        <v>Dress Zara</v>
      </c>
      <c r="M28" s="23">
        <v>60</v>
      </c>
      <c r="N28" s="27">
        <f t="shared" si="6"/>
        <v>46029</v>
      </c>
      <c r="O28" s="8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thickBot="1" x14ac:dyDescent="0.3">
      <c r="A29" s="26" t="s">
        <v>104</v>
      </c>
      <c r="B29" s="19" t="s">
        <v>105</v>
      </c>
      <c r="C29" s="20" t="str">
        <f t="shared" si="0"/>
        <v>Toaster</v>
      </c>
      <c r="D29" s="19" t="s">
        <v>106</v>
      </c>
      <c r="E29" s="21">
        <v>40</v>
      </c>
      <c r="F29" s="22">
        <f t="shared" si="1"/>
        <v>40</v>
      </c>
      <c r="G29" s="21">
        <v>10</v>
      </c>
      <c r="H29" s="19" t="s">
        <v>36</v>
      </c>
      <c r="I29" s="20" t="str">
        <f t="shared" si="2"/>
        <v>Kitchen</v>
      </c>
      <c r="J29" s="20" t="str">
        <f t="shared" si="3"/>
        <v>13</v>
      </c>
      <c r="K29" s="20" t="str">
        <f t="shared" si="4"/>
        <v>CA</v>
      </c>
      <c r="L29" s="20" t="str">
        <f t="shared" si="5"/>
        <v>Toaster Hamilton</v>
      </c>
      <c r="M29" s="23">
        <v>40</v>
      </c>
      <c r="N29" s="27">
        <f t="shared" si="6"/>
        <v>46035</v>
      </c>
      <c r="O29" s="8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27" thickBot="1" x14ac:dyDescent="0.3">
      <c r="A30" s="28" t="s">
        <v>107</v>
      </c>
      <c r="B30" s="20" t="s">
        <v>92</v>
      </c>
      <c r="C30" s="20" t="str">
        <f t="shared" si="0"/>
        <v>Fitness Tracker</v>
      </c>
      <c r="D30" s="20" t="s">
        <v>108</v>
      </c>
      <c r="E30" s="24">
        <v>130</v>
      </c>
      <c r="F30" s="22">
        <f t="shared" si="1"/>
        <v>130</v>
      </c>
      <c r="G30" s="24">
        <v>5</v>
      </c>
      <c r="H30" s="20" t="s">
        <v>28</v>
      </c>
      <c r="I30" s="20" t="str">
        <f t="shared" si="2"/>
        <v>Electronics</v>
      </c>
      <c r="J30" s="20" t="str">
        <f t="shared" si="3"/>
        <v>24</v>
      </c>
      <c r="K30" s="20" t="str">
        <f t="shared" si="4"/>
        <v>CA</v>
      </c>
      <c r="L30" s="20" t="str">
        <f t="shared" si="5"/>
        <v>Fitness Tracker Garmin</v>
      </c>
      <c r="M30" s="23">
        <v>130</v>
      </c>
      <c r="N30" s="27">
        <f t="shared" si="6"/>
        <v>46046</v>
      </c>
      <c r="O30" s="8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thickBot="1" x14ac:dyDescent="0.3">
      <c r="A31" s="26" t="s">
        <v>109</v>
      </c>
      <c r="B31" s="19" t="s">
        <v>110</v>
      </c>
      <c r="C31" s="20" t="str">
        <f t="shared" si="0"/>
        <v>Jeans</v>
      </c>
      <c r="D31" s="19" t="s">
        <v>111</v>
      </c>
      <c r="E31" s="21">
        <v>50</v>
      </c>
      <c r="F31" s="22">
        <f t="shared" si="1"/>
        <v>50</v>
      </c>
      <c r="G31" s="21">
        <v>50</v>
      </c>
      <c r="H31" s="19" t="s">
        <v>32</v>
      </c>
      <c r="I31" s="20" t="str">
        <f t="shared" si="2"/>
        <v>Fashion</v>
      </c>
      <c r="J31" s="20" t="str">
        <f t="shared" si="3"/>
        <v>02</v>
      </c>
      <c r="K31" s="20" t="str">
        <f t="shared" si="4"/>
        <v>CA</v>
      </c>
      <c r="L31" s="20" t="str">
        <f t="shared" si="5"/>
        <v>Jeans Levi's</v>
      </c>
      <c r="M31" s="23">
        <v>50</v>
      </c>
      <c r="N31" s="27">
        <f t="shared" si="6"/>
        <v>46024</v>
      </c>
      <c r="O31" s="8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thickBot="1" x14ac:dyDescent="0.3">
      <c r="A32" s="29" t="s">
        <v>112</v>
      </c>
      <c r="B32" s="30" t="s">
        <v>113</v>
      </c>
      <c r="C32" s="31" t="str">
        <f t="shared" si="0"/>
        <v>Watch</v>
      </c>
      <c r="D32" s="30" t="s">
        <v>114</v>
      </c>
      <c r="E32" s="32">
        <v>100</v>
      </c>
      <c r="F32" s="33">
        <f t="shared" si="1"/>
        <v>100</v>
      </c>
      <c r="G32" s="32">
        <v>20</v>
      </c>
      <c r="H32" s="30" t="s">
        <v>74</v>
      </c>
      <c r="I32" s="31" t="str">
        <f t="shared" si="2"/>
        <v>Accessories</v>
      </c>
      <c r="J32" s="31" t="str">
        <f t="shared" si="3"/>
        <v>09</v>
      </c>
      <c r="K32" s="31" t="str">
        <f t="shared" si="4"/>
        <v>FR</v>
      </c>
      <c r="L32" s="31" t="str">
        <f t="shared" si="5"/>
        <v>Watch Casio</v>
      </c>
      <c r="M32" s="34">
        <v>100</v>
      </c>
      <c r="N32" s="35">
        <f t="shared" si="6"/>
        <v>46031</v>
      </c>
      <c r="O32" s="8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75" thickBot="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4"/>
      <c r="N33" s="18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</sheetData>
  <phoneticPr fontId="8" type="noConversion"/>
  <conditionalFormatting sqref="E1:E1048576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{D21D43A3-01BB-4397-82FF-17DD403B0207}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1D43A3-01BB-4397-82FF-17DD403B020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containsText" priority="3" operator="containsText" id="{CF5E2444-C66E-4EC5-9BC0-1C7CE3A8E6ED}">
            <xm:f>NOT(ISERROR(SEARCH($H$2,H1)))</xm:f>
            <xm:f>$H$2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" operator="containsText" id="{AB39C927-CABF-45A6-8B3D-FF99772A73EF}">
            <xm:f>NOT(ISERROR(SEARCH($H$2,H1)))</xm:f>
            <xm:f>$H$2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" operator="containsText" id="{09DFB44F-CD43-4705-9224-AF8191136C7E}">
            <xm:f>NOT(ISERROR(SEARCH($H$2,H1)))</xm:f>
            <xm:f>$H$2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H1:H1048576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Azeez Kommachi</dc:creator>
  <cp:lastModifiedBy>Azeez Kommachi</cp:lastModifiedBy>
  <dcterms:created xsi:type="dcterms:W3CDTF">2026-09-23T15:27:35Z</dcterms:created>
  <dcterms:modified xsi:type="dcterms:W3CDTF">2026-09-23T19:36:43Z</dcterms:modified>
</cp:coreProperties>
</file>